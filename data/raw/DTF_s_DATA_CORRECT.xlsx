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tr/Downloads/"/>
    </mc:Choice>
  </mc:AlternateContent>
  <xr:revisionPtr revIDLastSave="0" documentId="8_{3DD92C11-48FC-2648-B306-018155D8F21F}" xr6:coauthVersionLast="47" xr6:coauthVersionMax="47" xr10:uidLastSave="{00000000-0000-0000-0000-000000000000}"/>
  <bookViews>
    <workbookView xWindow="8720" yWindow="820" windowWidth="20960" windowHeight="20720" xr2:uid="{54091D08-CA15-E24D-86A2-89CF4E697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H40" i="1" l="1"/>
  <c r="H41" i="1"/>
  <c r="H42" i="1"/>
  <c r="H43" i="1"/>
  <c r="H44" i="1"/>
  <c r="H39" i="1"/>
  <c r="H38" i="1"/>
  <c r="H37" i="1"/>
  <c r="H36" i="1"/>
  <c r="H35" i="1"/>
  <c r="H34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6" i="1"/>
  <c r="H5" i="1"/>
</calcChain>
</file>

<file path=xl/sharedStrings.xml><?xml version="1.0" encoding="utf-8"?>
<sst xmlns="http://schemas.openxmlformats.org/spreadsheetml/2006/main" count="390" uniqueCount="122">
  <si>
    <t># de venta</t>
  </si>
  <si>
    <t>Fecha de venta</t>
  </si>
  <si>
    <t>Estado de venta</t>
  </si>
  <si>
    <t>Ingresos</t>
  </si>
  <si>
    <t>Cargo por venta</t>
  </si>
  <si>
    <t>Costo de envio</t>
  </si>
  <si>
    <t>Total</t>
  </si>
  <si>
    <t>Diseño DTF</t>
  </si>
  <si>
    <t>Estado</t>
  </si>
  <si>
    <t>País</t>
  </si>
  <si>
    <t>Entregado</t>
  </si>
  <si>
    <t>Puebla</t>
  </si>
  <si>
    <t>México</t>
  </si>
  <si>
    <t>Jacket Hockey College</t>
  </si>
  <si>
    <t>Aguascalientes</t>
  </si>
  <si>
    <t>Jacket Ralph Lauren</t>
  </si>
  <si>
    <t>Jacket Cocodrilo Lacoste</t>
  </si>
  <si>
    <t xml:space="preserve">Jalisco </t>
  </si>
  <si>
    <t>T-Shirt Giannis Antetokounpo</t>
  </si>
  <si>
    <t>Colima</t>
  </si>
  <si>
    <t>T-Shirt Lakers Entrenamiento</t>
  </si>
  <si>
    <t xml:space="preserve">Querétaro </t>
  </si>
  <si>
    <t xml:space="preserve">T-Shirt Skateboard Originals </t>
  </si>
  <si>
    <t>Distrito Federal</t>
  </si>
  <si>
    <t xml:space="preserve">T-Shirt Roland Garros </t>
  </si>
  <si>
    <t>T-Shirt Tottenham HotSpurs Logo</t>
  </si>
  <si>
    <t>T-Shirt Inter de Milán Logo</t>
  </si>
  <si>
    <t>T-Shirt Chelsea Logo</t>
  </si>
  <si>
    <t xml:space="preserve">Veracruz </t>
  </si>
  <si>
    <t>T-Shirt Kobe Brayant Mamba</t>
  </si>
  <si>
    <t xml:space="preserve">Baja California </t>
  </si>
  <si>
    <t>T-Shirt Skateboard Originals City</t>
  </si>
  <si>
    <t xml:space="preserve">Michoacán </t>
  </si>
  <si>
    <t>T-Shirt Selección Mexicana Retro</t>
  </si>
  <si>
    <t>Hoodie Space Jam</t>
  </si>
  <si>
    <t xml:space="preserve">Estado de México </t>
  </si>
  <si>
    <t>Long Sleeve Air Jordan</t>
  </si>
  <si>
    <t xml:space="preserve">Saltillo </t>
  </si>
  <si>
    <t>Hoodie PSG Big Logo</t>
  </si>
  <si>
    <t xml:space="preserve">Tijuana </t>
  </si>
  <si>
    <t xml:space="preserve">T-Shirt Tennis Court </t>
  </si>
  <si>
    <t xml:space="preserve">T-Shirt Gigantes SF Logo </t>
  </si>
  <si>
    <t>Monterrey</t>
  </si>
  <si>
    <t xml:space="preserve">T-Shirt UFC Figther </t>
  </si>
  <si>
    <t>T-Shirt Manchester Logo Retro</t>
  </si>
  <si>
    <t>T-Shirt Dog Hounds</t>
  </si>
  <si>
    <t xml:space="preserve">T-Shirt Giannis Freak </t>
  </si>
  <si>
    <t xml:space="preserve">T-Shirt Barricade Tennis </t>
  </si>
  <si>
    <t>T-Shirt Yu-Gi-Oh! DarkWitch</t>
  </si>
  <si>
    <t>Morelos</t>
  </si>
  <si>
    <t xml:space="preserve">Morelos </t>
  </si>
  <si>
    <t>T-Shirt Agressive Bear</t>
  </si>
  <si>
    <t>T-Shirt Golds Gym Logo Front</t>
  </si>
  <si>
    <t xml:space="preserve">T-Shirt Golds Gym Logo Back </t>
  </si>
  <si>
    <t xml:space="preserve">Nuevo León </t>
  </si>
  <si>
    <t xml:space="preserve">Hoodie Revenge </t>
  </si>
  <si>
    <t xml:space="preserve">T-Shirt Popeye </t>
  </si>
  <si>
    <t>T-Shirt Big Letters 'Tren Tech'</t>
  </si>
  <si>
    <t xml:space="preserve">T-Shirt Letter 'Brethevinity' </t>
  </si>
  <si>
    <t>05 de marzo de 2026</t>
  </si>
  <si>
    <t>31 de octubre de 2025</t>
  </si>
  <si>
    <t>12 de noviembre de 2025</t>
  </si>
  <si>
    <t>19 de noviembre de 2025</t>
  </si>
  <si>
    <t>23 de noviembre de 2025</t>
  </si>
  <si>
    <t>26 de noviembre de 2025</t>
  </si>
  <si>
    <t>04 de diciembre de 2025</t>
  </si>
  <si>
    <t>05 de diciembre de 2025</t>
  </si>
  <si>
    <t>10 de diciembre de 2025</t>
  </si>
  <si>
    <t>21 de febrero de 2026</t>
  </si>
  <si>
    <t>26 de febrero de 2026</t>
  </si>
  <si>
    <t>07 de octubre 2025</t>
  </si>
  <si>
    <t>14 de octubre 2025</t>
  </si>
  <si>
    <t>Hoodie Zero Dog</t>
  </si>
  <si>
    <t>Toronto</t>
  </si>
  <si>
    <t xml:space="preserve">Cánada </t>
  </si>
  <si>
    <t xml:space="preserve">T-Shirt Scarty Hours Drake </t>
  </si>
  <si>
    <t xml:space="preserve">T-Shirt Nonstop Drake </t>
  </si>
  <si>
    <t>13 de diciembre de 2025</t>
  </si>
  <si>
    <t>14 de diciembre de 2025</t>
  </si>
  <si>
    <t>20 de diciembre de 2025</t>
  </si>
  <si>
    <t>23 de diciembre de 2025</t>
  </si>
  <si>
    <t>29 de diciembre de 2025</t>
  </si>
  <si>
    <t>30 de diciembre de 2025</t>
  </si>
  <si>
    <t>12 de febrero de 2026</t>
  </si>
  <si>
    <t>13 de febrero de 2026</t>
  </si>
  <si>
    <t>10 de febrero de 2026</t>
  </si>
  <si>
    <t>05 de febrero de 2026</t>
  </si>
  <si>
    <t>31 de enero de 2026</t>
  </si>
  <si>
    <t>08 de enero de 2026</t>
  </si>
  <si>
    <t>11 de enero de 2026</t>
  </si>
  <si>
    <t>19 de enero de 2026</t>
  </si>
  <si>
    <t>26 de enero de 2026</t>
  </si>
  <si>
    <t>28 de enero de 2026</t>
  </si>
  <si>
    <t>29 de enero de 2026</t>
  </si>
  <si>
    <t>Categoria</t>
  </si>
  <si>
    <t>Hockey</t>
  </si>
  <si>
    <t>Casual</t>
  </si>
  <si>
    <t>Deportiva</t>
  </si>
  <si>
    <t>Basketball</t>
  </si>
  <si>
    <t>Skateboarding</t>
  </si>
  <si>
    <t xml:space="preserve">Tenis </t>
  </si>
  <si>
    <t>Fútbol</t>
  </si>
  <si>
    <t>Baseball</t>
  </si>
  <si>
    <t>UFC</t>
  </si>
  <si>
    <t>Gym</t>
  </si>
  <si>
    <t>Movies</t>
  </si>
  <si>
    <t xml:space="preserve">Musica </t>
  </si>
  <si>
    <t>Tipo de prenda</t>
  </si>
  <si>
    <t>Jacket</t>
  </si>
  <si>
    <t>T-Shirt</t>
  </si>
  <si>
    <t>Hoodie</t>
  </si>
  <si>
    <t>Long Sleeve</t>
  </si>
  <si>
    <t>07 de marzo de 2026</t>
  </si>
  <si>
    <t>9 de marzo de 2026</t>
  </si>
  <si>
    <t>10 de marzo de 2026</t>
  </si>
  <si>
    <t>08 de marzo de 2026</t>
  </si>
  <si>
    <t>12 de marzo de 2026</t>
  </si>
  <si>
    <t>14 de marzo de 2026</t>
  </si>
  <si>
    <t>T-Shirt Track &amp; Field</t>
  </si>
  <si>
    <t xml:space="preserve">Sports </t>
  </si>
  <si>
    <t>Jacket Track &amp; Field</t>
  </si>
  <si>
    <t>Long Sleeve Track &amp;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</si>
</sst>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Baskerville"/>
      <family val="1"/>
    </font>
    <font>
      <sz val="16"/>
      <color theme="1"/>
      <name val="Baskerville"/>
      <family val="1"/>
    </font>
    <font>
      <sz val="12"/>
      <name val="Baskerville"/>
      <family val="1"/>
    </font>
    <font>
      <sz val="12"/>
      <color indexed="8"/>
      <name val="Baskerville"/>
      <family val="1"/>
    </font>
    <font>
      <sz val="12"/>
      <color rgb="FF000000"/>
      <name val="Baskerville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B8C5-144E-9249-890E-491AE0BA07DE}">
  <dimension ref="B3:M64"/>
  <sheetViews>
    <sheetView tabSelected="1" topLeftCell="B1" zoomScale="87" workbookViewId="0">
      <selection activeCell="G66" sqref="G66"/>
    </sheetView>
  </sheetViews>
  <sheetFormatPr baseColWidth="10" defaultRowHeight="16" x14ac:dyDescent="0.2"/>
  <cols>
    <col min="1" max="2" width="10.83203125" style="1"/>
    <col min="3" max="3" width="23.1640625" style="1" customWidth="1"/>
    <col min="4" max="4" width="13.1640625" style="1" customWidth="1"/>
    <col min="5" max="5" width="12" style="1" customWidth="1"/>
    <col min="6" max="6" width="14" style="1" customWidth="1"/>
    <col min="7" max="7" width="15.1640625" style="1" customWidth="1"/>
    <col min="8" max="8" width="10.83203125" style="1"/>
    <col min="9" max="9" width="29.5" style="1" customWidth="1"/>
    <col min="10" max="10" width="18.83203125" style="1" customWidth="1"/>
    <col min="11" max="11" width="10.83203125" style="1"/>
    <col min="12" max="12" width="16.5" style="1" customWidth="1"/>
    <col min="13" max="13" width="14.83203125" style="1" customWidth="1"/>
    <col min="14" max="16384" width="10.83203125" style="1"/>
  </cols>
  <sheetData>
    <row r="3" spans="2:13" ht="21" x14ac:dyDescent="0.25">
      <c r="C3" s="3"/>
    </row>
    <row r="4" spans="2:13" x14ac:dyDescent="0.2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94</v>
      </c>
      <c r="M4" s="2" t="s">
        <v>107</v>
      </c>
    </row>
    <row r="5" spans="2:13" x14ac:dyDescent="0.2">
      <c r="B5" s="2">
        <v>1001</v>
      </c>
      <c r="C5" s="2" t="s">
        <v>70</v>
      </c>
      <c r="D5" s="2" t="s">
        <v>10</v>
      </c>
      <c r="E5" s="2">
        <v>586</v>
      </c>
      <c r="F5" s="2">
        <v>0</v>
      </c>
      <c r="G5" s="2">
        <v>99</v>
      </c>
      <c r="H5" s="2">
        <f>E5-G5</f>
        <v>487</v>
      </c>
      <c r="I5" s="2" t="s">
        <v>13</v>
      </c>
      <c r="J5" s="2" t="s">
        <v>11</v>
      </c>
      <c r="K5" s="2" t="s">
        <v>12</v>
      </c>
      <c r="L5" s="2" t="s">
        <v>95</v>
      </c>
      <c r="M5" s="2" t="s">
        <v>108</v>
      </c>
    </row>
    <row r="6" spans="2:13" x14ac:dyDescent="0.2">
      <c r="B6" s="2">
        <v>1002</v>
      </c>
      <c r="C6" s="5" t="s">
        <v>71</v>
      </c>
      <c r="D6" s="2" t="s">
        <v>10</v>
      </c>
      <c r="E6" s="2">
        <v>586</v>
      </c>
      <c r="F6" s="2">
        <v>45</v>
      </c>
      <c r="G6" s="2">
        <v>100</v>
      </c>
      <c r="H6" s="2">
        <f>E6-G6-F6</f>
        <v>441</v>
      </c>
      <c r="I6" s="4" t="s">
        <v>15</v>
      </c>
      <c r="J6" s="4" t="s">
        <v>14</v>
      </c>
      <c r="K6" s="2" t="s">
        <v>12</v>
      </c>
      <c r="L6" s="2" t="s">
        <v>96</v>
      </c>
      <c r="M6" s="2" t="s">
        <v>108</v>
      </c>
    </row>
    <row r="7" spans="2:13" x14ac:dyDescent="0.2">
      <c r="B7" s="2">
        <v>1003</v>
      </c>
      <c r="C7" s="5" t="s">
        <v>60</v>
      </c>
      <c r="D7" s="2" t="s">
        <v>10</v>
      </c>
      <c r="E7" s="2">
        <v>586</v>
      </c>
      <c r="F7" s="2">
        <v>0</v>
      </c>
      <c r="G7" s="2">
        <v>133</v>
      </c>
      <c r="H7" s="2">
        <f t="shared" ref="H7:H45" si="0">E7-G7-F7</f>
        <v>453</v>
      </c>
      <c r="I7" s="2" t="s">
        <v>16</v>
      </c>
      <c r="J7" s="2" t="s">
        <v>17</v>
      </c>
      <c r="K7" s="2" t="s">
        <v>12</v>
      </c>
      <c r="L7" s="2" t="s">
        <v>97</v>
      </c>
      <c r="M7" s="2" t="s">
        <v>108</v>
      </c>
    </row>
    <row r="8" spans="2:13" x14ac:dyDescent="0.2">
      <c r="B8" s="2">
        <v>1004</v>
      </c>
      <c r="C8" s="5" t="s">
        <v>61</v>
      </c>
      <c r="D8" s="2" t="s">
        <v>10</v>
      </c>
      <c r="E8" s="2">
        <v>486</v>
      </c>
      <c r="F8" s="2">
        <v>0</v>
      </c>
      <c r="G8" s="2">
        <v>133</v>
      </c>
      <c r="H8" s="2">
        <f t="shared" si="0"/>
        <v>353</v>
      </c>
      <c r="I8" s="2" t="s">
        <v>18</v>
      </c>
      <c r="J8" s="2" t="s">
        <v>19</v>
      </c>
      <c r="K8" s="2" t="s">
        <v>12</v>
      </c>
      <c r="L8" s="2" t="s">
        <v>98</v>
      </c>
      <c r="M8" s="2" t="s">
        <v>109</v>
      </c>
    </row>
    <row r="9" spans="2:13" x14ac:dyDescent="0.2">
      <c r="B9" s="2">
        <v>1005</v>
      </c>
      <c r="C9" s="5" t="s">
        <v>62</v>
      </c>
      <c r="D9" s="2" t="s">
        <v>10</v>
      </c>
      <c r="E9" s="2">
        <v>486</v>
      </c>
      <c r="F9" s="2">
        <v>135</v>
      </c>
      <c r="G9" s="2">
        <v>96</v>
      </c>
      <c r="H9" s="2">
        <f t="shared" si="0"/>
        <v>255</v>
      </c>
      <c r="I9" s="2" t="s">
        <v>20</v>
      </c>
      <c r="J9" s="2" t="s">
        <v>21</v>
      </c>
      <c r="K9" s="2" t="s">
        <v>12</v>
      </c>
      <c r="L9" s="2" t="s">
        <v>98</v>
      </c>
      <c r="M9" s="2" t="s">
        <v>109</v>
      </c>
    </row>
    <row r="10" spans="2:13" x14ac:dyDescent="0.2">
      <c r="B10" s="2">
        <v>1006</v>
      </c>
      <c r="C10" s="5" t="s">
        <v>63</v>
      </c>
      <c r="D10" s="2" t="s">
        <v>10</v>
      </c>
      <c r="E10" s="2">
        <v>200</v>
      </c>
      <c r="F10" s="2">
        <v>98</v>
      </c>
      <c r="G10" s="2">
        <v>0</v>
      </c>
      <c r="H10" s="2">
        <f t="shared" si="0"/>
        <v>102</v>
      </c>
      <c r="I10" s="2" t="s">
        <v>22</v>
      </c>
      <c r="J10" s="2" t="s">
        <v>23</v>
      </c>
      <c r="K10" s="2" t="s">
        <v>12</v>
      </c>
      <c r="L10" s="2" t="s">
        <v>99</v>
      </c>
      <c r="M10" s="2" t="s">
        <v>109</v>
      </c>
    </row>
    <row r="11" spans="2:13" x14ac:dyDescent="0.2">
      <c r="B11" s="2">
        <v>1007</v>
      </c>
      <c r="C11" s="5" t="s">
        <v>64</v>
      </c>
      <c r="D11" s="2" t="s">
        <v>10</v>
      </c>
      <c r="E11" s="2">
        <v>486</v>
      </c>
      <c r="F11" s="2">
        <v>45</v>
      </c>
      <c r="G11" s="2">
        <v>89</v>
      </c>
      <c r="H11" s="2">
        <f t="shared" si="0"/>
        <v>352</v>
      </c>
      <c r="I11" s="2" t="s">
        <v>24</v>
      </c>
      <c r="J11" s="2" t="s">
        <v>23</v>
      </c>
      <c r="K11" s="2" t="s">
        <v>12</v>
      </c>
      <c r="L11" s="2" t="s">
        <v>100</v>
      </c>
      <c r="M11" s="2" t="s">
        <v>109</v>
      </c>
    </row>
    <row r="12" spans="2:13" x14ac:dyDescent="0.2">
      <c r="B12" s="2">
        <v>1008</v>
      </c>
      <c r="C12" s="5" t="s">
        <v>65</v>
      </c>
      <c r="D12" s="2" t="s">
        <v>10</v>
      </c>
      <c r="E12" s="2">
        <v>550</v>
      </c>
      <c r="F12" s="2">
        <v>82</v>
      </c>
      <c r="G12" s="2">
        <v>79</v>
      </c>
      <c r="H12" s="2">
        <f t="shared" si="0"/>
        <v>389</v>
      </c>
      <c r="I12" s="2" t="s">
        <v>25</v>
      </c>
      <c r="J12" s="2" t="s">
        <v>23</v>
      </c>
      <c r="K12" s="2" t="s">
        <v>12</v>
      </c>
      <c r="L12" s="2" t="s">
        <v>101</v>
      </c>
      <c r="M12" s="2" t="s">
        <v>109</v>
      </c>
    </row>
    <row r="13" spans="2:13" x14ac:dyDescent="0.2">
      <c r="B13" s="2">
        <v>1009</v>
      </c>
      <c r="C13" s="5" t="s">
        <v>66</v>
      </c>
      <c r="D13" s="2" t="s">
        <v>10</v>
      </c>
      <c r="E13" s="2">
        <v>400</v>
      </c>
      <c r="F13" s="2">
        <v>0</v>
      </c>
      <c r="G13" s="2">
        <v>125</v>
      </c>
      <c r="H13" s="2">
        <f t="shared" si="0"/>
        <v>275</v>
      </c>
      <c r="I13" s="2" t="s">
        <v>26</v>
      </c>
      <c r="J13" s="2" t="s">
        <v>28</v>
      </c>
      <c r="K13" s="2" t="s">
        <v>12</v>
      </c>
      <c r="L13" s="2" t="s">
        <v>101</v>
      </c>
      <c r="M13" s="2" t="s">
        <v>109</v>
      </c>
    </row>
    <row r="14" spans="2:13" x14ac:dyDescent="0.2">
      <c r="B14" s="2">
        <v>1010</v>
      </c>
      <c r="C14" s="5" t="s">
        <v>67</v>
      </c>
      <c r="D14" s="2" t="s">
        <v>10</v>
      </c>
      <c r="E14" s="2">
        <v>400</v>
      </c>
      <c r="F14" s="2">
        <v>0</v>
      </c>
      <c r="G14" s="2">
        <v>125</v>
      </c>
      <c r="H14" s="2">
        <f t="shared" si="0"/>
        <v>275</v>
      </c>
      <c r="I14" s="2" t="s">
        <v>27</v>
      </c>
      <c r="J14" s="2" t="s">
        <v>28</v>
      </c>
      <c r="K14" s="2" t="s">
        <v>12</v>
      </c>
      <c r="L14" s="2" t="s">
        <v>101</v>
      </c>
      <c r="M14" s="2" t="s">
        <v>109</v>
      </c>
    </row>
    <row r="15" spans="2:13" x14ac:dyDescent="0.2">
      <c r="B15" s="2">
        <v>1011</v>
      </c>
      <c r="C15" s="5" t="s">
        <v>67</v>
      </c>
      <c r="D15" s="2" t="s">
        <v>10</v>
      </c>
      <c r="E15" s="2">
        <v>400</v>
      </c>
      <c r="F15" s="2">
        <v>0</v>
      </c>
      <c r="G15" s="2">
        <v>0</v>
      </c>
      <c r="H15" s="2">
        <f t="shared" si="0"/>
        <v>400</v>
      </c>
      <c r="I15" s="2" t="s">
        <v>29</v>
      </c>
      <c r="J15" s="2" t="s">
        <v>30</v>
      </c>
      <c r="K15" s="2" t="s">
        <v>12</v>
      </c>
      <c r="L15" s="2" t="s">
        <v>98</v>
      </c>
      <c r="M15" s="2" t="s">
        <v>109</v>
      </c>
    </row>
    <row r="16" spans="2:13" x14ac:dyDescent="0.2">
      <c r="B16" s="2">
        <v>1012</v>
      </c>
      <c r="C16" s="6" t="s">
        <v>77</v>
      </c>
      <c r="D16" s="2" t="s">
        <v>10</v>
      </c>
      <c r="E16" s="2">
        <v>200</v>
      </c>
      <c r="F16" s="2">
        <v>0</v>
      </c>
      <c r="G16" s="2">
        <v>0</v>
      </c>
      <c r="H16" s="2">
        <f t="shared" si="0"/>
        <v>200</v>
      </c>
      <c r="I16" s="2" t="s">
        <v>31</v>
      </c>
      <c r="J16" s="2" t="s">
        <v>32</v>
      </c>
      <c r="K16" s="2" t="s">
        <v>12</v>
      </c>
      <c r="L16" s="2" t="s">
        <v>101</v>
      </c>
      <c r="M16" s="2" t="s">
        <v>109</v>
      </c>
    </row>
    <row r="17" spans="2:13" x14ac:dyDescent="0.2">
      <c r="B17" s="2">
        <v>1013</v>
      </c>
      <c r="C17" s="6" t="s">
        <v>78</v>
      </c>
      <c r="D17" s="2" t="s">
        <v>10</v>
      </c>
      <c r="E17" s="2">
        <v>400</v>
      </c>
      <c r="F17" s="2">
        <v>0</v>
      </c>
      <c r="G17" s="2">
        <v>0</v>
      </c>
      <c r="H17" s="2">
        <f t="shared" si="0"/>
        <v>400</v>
      </c>
      <c r="I17" s="2" t="s">
        <v>33</v>
      </c>
      <c r="J17" s="2" t="s">
        <v>17</v>
      </c>
      <c r="K17" s="2" t="s">
        <v>12</v>
      </c>
      <c r="L17" s="2" t="s">
        <v>101</v>
      </c>
      <c r="M17" s="2" t="s">
        <v>109</v>
      </c>
    </row>
    <row r="18" spans="2:13" x14ac:dyDescent="0.2">
      <c r="B18" s="2">
        <v>1014</v>
      </c>
      <c r="C18" s="6" t="s">
        <v>78</v>
      </c>
      <c r="D18" s="2" t="s">
        <v>10</v>
      </c>
      <c r="E18" s="2">
        <v>586</v>
      </c>
      <c r="F18" s="2">
        <v>90</v>
      </c>
      <c r="G18" s="2">
        <v>0</v>
      </c>
      <c r="H18" s="2">
        <f t="shared" si="0"/>
        <v>496</v>
      </c>
      <c r="I18" s="2" t="s">
        <v>34</v>
      </c>
      <c r="J18" s="2" t="s">
        <v>35</v>
      </c>
      <c r="K18" s="2" t="s">
        <v>12</v>
      </c>
      <c r="L18" s="2" t="s">
        <v>98</v>
      </c>
      <c r="M18" s="2" t="s">
        <v>110</v>
      </c>
    </row>
    <row r="19" spans="2:13" x14ac:dyDescent="0.2">
      <c r="B19" s="2">
        <v>1015</v>
      </c>
      <c r="C19" s="6" t="s">
        <v>78</v>
      </c>
      <c r="D19" s="2" t="s">
        <v>10</v>
      </c>
      <c r="E19" s="2">
        <v>500</v>
      </c>
      <c r="F19" s="2">
        <v>90</v>
      </c>
      <c r="G19" s="2">
        <v>0</v>
      </c>
      <c r="H19" s="2">
        <f t="shared" si="0"/>
        <v>410</v>
      </c>
      <c r="I19" s="2" t="s">
        <v>36</v>
      </c>
      <c r="J19" s="2" t="s">
        <v>37</v>
      </c>
      <c r="K19" s="2" t="s">
        <v>12</v>
      </c>
      <c r="L19" s="2" t="s">
        <v>98</v>
      </c>
      <c r="M19" s="2" t="s">
        <v>111</v>
      </c>
    </row>
    <row r="20" spans="2:13" x14ac:dyDescent="0.2">
      <c r="B20" s="2">
        <v>1016</v>
      </c>
      <c r="C20" s="6" t="s">
        <v>79</v>
      </c>
      <c r="D20" s="2" t="s">
        <v>10</v>
      </c>
      <c r="E20" s="2">
        <v>686</v>
      </c>
      <c r="F20" s="2">
        <v>135</v>
      </c>
      <c r="G20" s="2">
        <v>0</v>
      </c>
      <c r="H20" s="2">
        <f t="shared" si="0"/>
        <v>551</v>
      </c>
      <c r="I20" s="2" t="s">
        <v>38</v>
      </c>
      <c r="J20" s="2" t="s">
        <v>39</v>
      </c>
      <c r="K20" s="2" t="s">
        <v>12</v>
      </c>
      <c r="L20" s="2" t="s">
        <v>101</v>
      </c>
      <c r="M20" s="2" t="s">
        <v>110</v>
      </c>
    </row>
    <row r="21" spans="2:13" x14ac:dyDescent="0.2">
      <c r="B21" s="2">
        <v>1017</v>
      </c>
      <c r="C21" s="6" t="s">
        <v>80</v>
      </c>
      <c r="D21" s="2" t="s">
        <v>10</v>
      </c>
      <c r="E21" s="2">
        <v>486</v>
      </c>
      <c r="F21" s="2">
        <v>90</v>
      </c>
      <c r="G21" s="2">
        <v>0</v>
      </c>
      <c r="H21" s="2">
        <f t="shared" si="0"/>
        <v>396</v>
      </c>
      <c r="I21" s="2" t="s">
        <v>40</v>
      </c>
      <c r="J21" s="2" t="s">
        <v>23</v>
      </c>
      <c r="K21" s="2" t="s">
        <v>12</v>
      </c>
      <c r="L21" s="2" t="s">
        <v>100</v>
      </c>
      <c r="M21" s="2" t="s">
        <v>109</v>
      </c>
    </row>
    <row r="22" spans="2:13" x14ac:dyDescent="0.2">
      <c r="B22" s="2">
        <v>1018</v>
      </c>
      <c r="C22" s="6" t="s">
        <v>81</v>
      </c>
      <c r="D22" s="2" t="s">
        <v>10</v>
      </c>
      <c r="E22" s="2">
        <v>300</v>
      </c>
      <c r="F22" s="2">
        <v>90</v>
      </c>
      <c r="G22" s="2">
        <v>0</v>
      </c>
      <c r="H22" s="2">
        <f t="shared" si="0"/>
        <v>210</v>
      </c>
      <c r="I22" s="2" t="s">
        <v>41</v>
      </c>
      <c r="J22" s="2" t="s">
        <v>42</v>
      </c>
      <c r="K22" s="2" t="s">
        <v>12</v>
      </c>
      <c r="L22" s="2" t="s">
        <v>102</v>
      </c>
      <c r="M22" s="2" t="s">
        <v>109</v>
      </c>
    </row>
    <row r="23" spans="2:13" x14ac:dyDescent="0.2">
      <c r="B23" s="2">
        <v>1019</v>
      </c>
      <c r="C23" s="6" t="s">
        <v>82</v>
      </c>
      <c r="D23" s="2" t="s">
        <v>10</v>
      </c>
      <c r="E23" s="2">
        <v>486</v>
      </c>
      <c r="F23" s="2">
        <v>0</v>
      </c>
      <c r="G23" s="2">
        <v>125</v>
      </c>
      <c r="H23" s="2">
        <f t="shared" si="0"/>
        <v>361</v>
      </c>
      <c r="I23" s="2" t="s">
        <v>43</v>
      </c>
      <c r="J23" s="2" t="s">
        <v>23</v>
      </c>
      <c r="K23" s="2" t="s">
        <v>12</v>
      </c>
      <c r="L23" s="2" t="s">
        <v>103</v>
      </c>
      <c r="M23" s="2" t="s">
        <v>109</v>
      </c>
    </row>
    <row r="24" spans="2:13" x14ac:dyDescent="0.2">
      <c r="B24" s="2">
        <v>1020</v>
      </c>
      <c r="C24" s="5" t="s">
        <v>88</v>
      </c>
      <c r="D24" s="2" t="s">
        <v>10</v>
      </c>
      <c r="E24" s="2">
        <v>400</v>
      </c>
      <c r="F24" s="2">
        <v>0</v>
      </c>
      <c r="G24" s="2">
        <v>125</v>
      </c>
      <c r="H24" s="2">
        <f t="shared" si="0"/>
        <v>275</v>
      </c>
      <c r="I24" s="2" t="s">
        <v>44</v>
      </c>
      <c r="J24" s="2" t="s">
        <v>39</v>
      </c>
      <c r="K24" s="2" t="s">
        <v>12</v>
      </c>
      <c r="L24" s="2" t="s">
        <v>101</v>
      </c>
      <c r="M24" s="2" t="s">
        <v>109</v>
      </c>
    </row>
    <row r="25" spans="2:13" x14ac:dyDescent="0.2">
      <c r="B25" s="2">
        <v>1021</v>
      </c>
      <c r="C25" s="5" t="s">
        <v>89</v>
      </c>
      <c r="D25" s="2" t="s">
        <v>10</v>
      </c>
      <c r="E25" s="2">
        <v>486</v>
      </c>
      <c r="F25" s="2">
        <v>0</v>
      </c>
      <c r="G25" s="2">
        <v>99</v>
      </c>
      <c r="H25" s="2">
        <f t="shared" si="0"/>
        <v>387</v>
      </c>
      <c r="I25" s="2" t="s">
        <v>45</v>
      </c>
      <c r="J25" s="2" t="s">
        <v>17</v>
      </c>
      <c r="K25" s="2" t="s">
        <v>12</v>
      </c>
      <c r="L25" s="2" t="s">
        <v>96</v>
      </c>
      <c r="M25" s="2" t="s">
        <v>109</v>
      </c>
    </row>
    <row r="26" spans="2:13" x14ac:dyDescent="0.2">
      <c r="B26" s="2">
        <v>1022</v>
      </c>
      <c r="C26" s="6" t="s">
        <v>90</v>
      </c>
      <c r="D26" s="2" t="s">
        <v>10</v>
      </c>
      <c r="E26" s="2">
        <v>300</v>
      </c>
      <c r="F26" s="2">
        <v>0</v>
      </c>
      <c r="G26" s="2">
        <v>99</v>
      </c>
      <c r="H26" s="2">
        <f t="shared" si="0"/>
        <v>201</v>
      </c>
      <c r="I26" s="2" t="s">
        <v>46</v>
      </c>
      <c r="J26" s="2" t="s">
        <v>35</v>
      </c>
      <c r="K26" s="2" t="s">
        <v>12</v>
      </c>
      <c r="L26" s="2" t="s">
        <v>98</v>
      </c>
      <c r="M26" s="2" t="s">
        <v>109</v>
      </c>
    </row>
    <row r="27" spans="2:13" x14ac:dyDescent="0.2">
      <c r="B27" s="2">
        <v>1023</v>
      </c>
      <c r="C27" s="6" t="s">
        <v>91</v>
      </c>
      <c r="D27" s="2" t="s">
        <v>10</v>
      </c>
      <c r="E27" s="2">
        <v>300</v>
      </c>
      <c r="F27" s="2">
        <v>0</v>
      </c>
      <c r="G27" s="2">
        <v>99</v>
      </c>
      <c r="H27" s="2">
        <f t="shared" si="0"/>
        <v>201</v>
      </c>
      <c r="I27" s="2" t="s">
        <v>47</v>
      </c>
      <c r="J27" s="2" t="s">
        <v>11</v>
      </c>
      <c r="K27" s="2" t="s">
        <v>12</v>
      </c>
      <c r="L27" s="2" t="s">
        <v>100</v>
      </c>
      <c r="M27" s="2" t="s">
        <v>109</v>
      </c>
    </row>
    <row r="28" spans="2:13" x14ac:dyDescent="0.2">
      <c r="B28" s="2">
        <v>1024</v>
      </c>
      <c r="C28" s="6" t="s">
        <v>92</v>
      </c>
      <c r="D28" s="2" t="s">
        <v>10</v>
      </c>
      <c r="E28" s="2">
        <v>486</v>
      </c>
      <c r="F28" s="2">
        <v>90</v>
      </c>
      <c r="G28" s="2">
        <v>0</v>
      </c>
      <c r="H28" s="2">
        <f t="shared" si="0"/>
        <v>396</v>
      </c>
      <c r="I28" s="2" t="s">
        <v>48</v>
      </c>
      <c r="J28" s="2" t="s">
        <v>49</v>
      </c>
      <c r="K28" s="2" t="s">
        <v>12</v>
      </c>
      <c r="L28" s="2" t="s">
        <v>104</v>
      </c>
      <c r="M28" s="2" t="s">
        <v>109</v>
      </c>
    </row>
    <row r="29" spans="2:13" x14ac:dyDescent="0.2">
      <c r="B29" s="2">
        <v>1025</v>
      </c>
      <c r="C29" s="6" t="s">
        <v>93</v>
      </c>
      <c r="D29" s="2" t="s">
        <v>10</v>
      </c>
      <c r="E29" s="2">
        <v>486</v>
      </c>
      <c r="F29" s="2">
        <v>0</v>
      </c>
      <c r="G29" s="2">
        <v>120</v>
      </c>
      <c r="H29" s="2">
        <f t="shared" si="0"/>
        <v>366</v>
      </c>
      <c r="I29" s="2" t="s">
        <v>53</v>
      </c>
      <c r="J29" s="2" t="s">
        <v>50</v>
      </c>
      <c r="K29" s="2" t="s">
        <v>12</v>
      </c>
      <c r="L29" s="2" t="s">
        <v>104</v>
      </c>
      <c r="M29" s="2" t="s">
        <v>109</v>
      </c>
    </row>
    <row r="30" spans="2:13" x14ac:dyDescent="0.2">
      <c r="B30" s="2">
        <v>1026</v>
      </c>
      <c r="C30" s="5" t="s">
        <v>87</v>
      </c>
      <c r="D30" s="2" t="s">
        <v>10</v>
      </c>
      <c r="E30" s="2">
        <v>486</v>
      </c>
      <c r="F30" s="2">
        <v>0</v>
      </c>
      <c r="G30" s="2">
        <v>90</v>
      </c>
      <c r="H30" s="2">
        <f t="shared" si="0"/>
        <v>396</v>
      </c>
      <c r="I30" s="2" t="s">
        <v>51</v>
      </c>
      <c r="J30" s="2" t="s">
        <v>23</v>
      </c>
      <c r="K30" s="2" t="s">
        <v>12</v>
      </c>
      <c r="L30" s="2" t="s">
        <v>104</v>
      </c>
      <c r="M30" s="2" t="s">
        <v>109</v>
      </c>
    </row>
    <row r="31" spans="2:13" x14ac:dyDescent="0.2">
      <c r="B31" s="2">
        <v>1027</v>
      </c>
      <c r="C31" s="5" t="s">
        <v>86</v>
      </c>
      <c r="D31" s="2" t="s">
        <v>10</v>
      </c>
      <c r="E31" s="2">
        <v>486</v>
      </c>
      <c r="F31" s="2">
        <v>0</v>
      </c>
      <c r="G31" s="2">
        <v>120</v>
      </c>
      <c r="H31" s="2">
        <f t="shared" si="0"/>
        <v>366</v>
      </c>
      <c r="I31" s="2" t="s">
        <v>52</v>
      </c>
      <c r="J31" s="2" t="s">
        <v>39</v>
      </c>
      <c r="K31" s="2" t="s">
        <v>12</v>
      </c>
      <c r="L31" s="2" t="s">
        <v>104</v>
      </c>
      <c r="M31" s="2" t="s">
        <v>109</v>
      </c>
    </row>
    <row r="32" spans="2:13" x14ac:dyDescent="0.2">
      <c r="B32" s="2">
        <v>1028</v>
      </c>
      <c r="C32" s="5" t="s">
        <v>86</v>
      </c>
      <c r="D32" s="2" t="s">
        <v>10</v>
      </c>
      <c r="E32" s="2">
        <v>486</v>
      </c>
      <c r="F32" s="2">
        <v>0</v>
      </c>
      <c r="G32" s="2">
        <v>99</v>
      </c>
      <c r="H32" s="2">
        <f t="shared" si="0"/>
        <v>387</v>
      </c>
      <c r="I32" s="2" t="s">
        <v>52</v>
      </c>
      <c r="J32" s="2" t="s">
        <v>17</v>
      </c>
      <c r="K32" s="2" t="s">
        <v>12</v>
      </c>
      <c r="L32" s="2" t="s">
        <v>104</v>
      </c>
      <c r="M32" s="2" t="s">
        <v>109</v>
      </c>
    </row>
    <row r="33" spans="2:13" x14ac:dyDescent="0.2">
      <c r="B33" s="2">
        <v>1029</v>
      </c>
      <c r="C33" s="5" t="s">
        <v>85</v>
      </c>
      <c r="D33" s="2" t="s">
        <v>10</v>
      </c>
      <c r="E33" s="2">
        <v>486</v>
      </c>
      <c r="F33" s="2">
        <v>0</v>
      </c>
      <c r="G33" s="2">
        <v>99</v>
      </c>
      <c r="H33" s="2">
        <f t="shared" si="0"/>
        <v>387</v>
      </c>
      <c r="I33" s="2" t="s">
        <v>24</v>
      </c>
      <c r="J33" s="2" t="s">
        <v>54</v>
      </c>
      <c r="K33" s="2" t="s">
        <v>12</v>
      </c>
      <c r="L33" s="2" t="s">
        <v>100</v>
      </c>
      <c r="M33" s="2" t="s">
        <v>109</v>
      </c>
    </row>
    <row r="34" spans="2:13" x14ac:dyDescent="0.2">
      <c r="B34" s="2">
        <v>1030</v>
      </c>
      <c r="C34" s="5" t="s">
        <v>85</v>
      </c>
      <c r="D34" s="2" t="s">
        <v>10</v>
      </c>
      <c r="E34" s="2">
        <v>686</v>
      </c>
      <c r="F34" s="2">
        <v>90</v>
      </c>
      <c r="G34" s="2">
        <v>99</v>
      </c>
      <c r="H34" s="2">
        <f t="shared" si="0"/>
        <v>497</v>
      </c>
      <c r="I34" s="2" t="s">
        <v>55</v>
      </c>
      <c r="J34" s="2" t="s">
        <v>35</v>
      </c>
      <c r="K34" s="2" t="s">
        <v>12</v>
      </c>
      <c r="L34" s="2" t="s">
        <v>104</v>
      </c>
      <c r="M34" s="2" t="s">
        <v>110</v>
      </c>
    </row>
    <row r="35" spans="2:13" x14ac:dyDescent="0.2">
      <c r="B35" s="2">
        <v>1031</v>
      </c>
      <c r="C35" s="5" t="s">
        <v>84</v>
      </c>
      <c r="D35" s="2" t="s">
        <v>10</v>
      </c>
      <c r="E35" s="2">
        <v>486</v>
      </c>
      <c r="F35" s="2">
        <v>0</v>
      </c>
      <c r="G35" s="2">
        <v>0</v>
      </c>
      <c r="H35" s="2">
        <f t="shared" si="0"/>
        <v>486</v>
      </c>
      <c r="I35" s="2" t="s">
        <v>51</v>
      </c>
      <c r="J35" s="2" t="s">
        <v>35</v>
      </c>
      <c r="K35" s="2" t="s">
        <v>12</v>
      </c>
      <c r="L35" s="2" t="s">
        <v>104</v>
      </c>
      <c r="M35" s="2" t="s">
        <v>109</v>
      </c>
    </row>
    <row r="36" spans="2:13" x14ac:dyDescent="0.2">
      <c r="B36" s="2">
        <v>1032</v>
      </c>
      <c r="C36" s="5" t="s">
        <v>84</v>
      </c>
      <c r="D36" s="2" t="s">
        <v>10</v>
      </c>
      <c r="E36" s="2">
        <v>486</v>
      </c>
      <c r="F36" s="2">
        <v>0</v>
      </c>
      <c r="G36" s="2">
        <v>99</v>
      </c>
      <c r="H36" s="2">
        <f t="shared" si="0"/>
        <v>387</v>
      </c>
      <c r="I36" s="2" t="s">
        <v>56</v>
      </c>
      <c r="J36" s="2" t="s">
        <v>17</v>
      </c>
      <c r="K36" s="2" t="s">
        <v>12</v>
      </c>
      <c r="L36" s="2" t="s">
        <v>104</v>
      </c>
      <c r="M36" s="2" t="s">
        <v>109</v>
      </c>
    </row>
    <row r="37" spans="2:13" x14ac:dyDescent="0.2">
      <c r="B37" s="2">
        <v>1033</v>
      </c>
      <c r="C37" s="5" t="s">
        <v>83</v>
      </c>
      <c r="D37" s="2" t="s">
        <v>10</v>
      </c>
      <c r="E37" s="2">
        <v>486</v>
      </c>
      <c r="F37" s="2">
        <v>0</v>
      </c>
      <c r="G37" s="2">
        <v>99</v>
      </c>
      <c r="H37" s="2">
        <f t="shared" si="0"/>
        <v>387</v>
      </c>
      <c r="I37" s="2" t="s">
        <v>57</v>
      </c>
      <c r="J37" s="2" t="s">
        <v>49</v>
      </c>
      <c r="K37" s="2" t="s">
        <v>12</v>
      </c>
      <c r="L37" s="2" t="s">
        <v>104</v>
      </c>
      <c r="M37" s="2" t="s">
        <v>109</v>
      </c>
    </row>
    <row r="38" spans="2:13" x14ac:dyDescent="0.2">
      <c r="B38" s="2">
        <v>1034</v>
      </c>
      <c r="C38" s="5" t="s">
        <v>83</v>
      </c>
      <c r="D38" s="2" t="s">
        <v>10</v>
      </c>
      <c r="E38" s="2">
        <v>300</v>
      </c>
      <c r="F38" s="2">
        <v>90</v>
      </c>
      <c r="G38" s="2">
        <v>120</v>
      </c>
      <c r="H38" s="2">
        <f t="shared" si="0"/>
        <v>90</v>
      </c>
      <c r="I38" s="2" t="s">
        <v>58</v>
      </c>
      <c r="J38" s="2" t="s">
        <v>23</v>
      </c>
      <c r="K38" s="2" t="s">
        <v>12</v>
      </c>
      <c r="L38" s="2" t="s">
        <v>104</v>
      </c>
      <c r="M38" s="2" t="s">
        <v>109</v>
      </c>
    </row>
    <row r="39" spans="2:13" x14ac:dyDescent="0.2">
      <c r="B39" s="2">
        <v>1035</v>
      </c>
      <c r="C39" s="5" t="s">
        <v>83</v>
      </c>
      <c r="D39" s="2" t="s">
        <v>10</v>
      </c>
      <c r="E39" s="2">
        <v>486</v>
      </c>
      <c r="F39" s="2">
        <v>0</v>
      </c>
      <c r="G39" s="2">
        <v>126</v>
      </c>
      <c r="H39" s="2">
        <f t="shared" si="0"/>
        <v>360</v>
      </c>
      <c r="I39" s="2" t="s">
        <v>52</v>
      </c>
      <c r="J39" s="2" t="s">
        <v>11</v>
      </c>
      <c r="K39" s="2" t="s">
        <v>12</v>
      </c>
      <c r="L39" s="2" t="s">
        <v>104</v>
      </c>
      <c r="M39" s="2" t="s">
        <v>109</v>
      </c>
    </row>
    <row r="40" spans="2:13" x14ac:dyDescent="0.2">
      <c r="B40" s="2">
        <v>1036</v>
      </c>
      <c r="C40" s="5" t="s">
        <v>68</v>
      </c>
      <c r="D40" s="2" t="s">
        <v>10</v>
      </c>
      <c r="E40" s="2">
        <v>486</v>
      </c>
      <c r="F40" s="2">
        <v>0</v>
      </c>
      <c r="G40" s="2">
        <v>0</v>
      </c>
      <c r="H40" s="2">
        <f t="shared" si="0"/>
        <v>486</v>
      </c>
      <c r="I40" s="2" t="s">
        <v>52</v>
      </c>
      <c r="J40" s="2" t="s">
        <v>11</v>
      </c>
      <c r="K40" s="2" t="s">
        <v>12</v>
      </c>
      <c r="L40" s="2" t="s">
        <v>104</v>
      </c>
      <c r="M40" s="2" t="s">
        <v>109</v>
      </c>
    </row>
    <row r="41" spans="2:13" x14ac:dyDescent="0.2">
      <c r="B41" s="2">
        <v>1037</v>
      </c>
      <c r="C41" s="5" t="s">
        <v>69</v>
      </c>
      <c r="D41" s="2" t="s">
        <v>10</v>
      </c>
      <c r="E41" s="2">
        <v>686</v>
      </c>
      <c r="F41" s="2">
        <v>0</v>
      </c>
      <c r="G41" s="2">
        <v>109</v>
      </c>
      <c r="H41" s="2">
        <f t="shared" si="0"/>
        <v>577</v>
      </c>
      <c r="I41" s="2" t="s">
        <v>72</v>
      </c>
      <c r="J41" s="2" t="s">
        <v>23</v>
      </c>
      <c r="K41" s="2" t="s">
        <v>12</v>
      </c>
      <c r="L41" s="2" t="s">
        <v>105</v>
      </c>
      <c r="M41" s="2" t="s">
        <v>110</v>
      </c>
    </row>
    <row r="42" spans="2:13" x14ac:dyDescent="0.2">
      <c r="B42" s="2">
        <v>1038</v>
      </c>
      <c r="C42" s="5" t="s">
        <v>69</v>
      </c>
      <c r="D42" s="2" t="s">
        <v>10</v>
      </c>
      <c r="E42" s="2">
        <v>686</v>
      </c>
      <c r="F42" s="2">
        <v>91.52</v>
      </c>
      <c r="G42" s="2">
        <v>359</v>
      </c>
      <c r="H42" s="2">
        <f t="shared" si="0"/>
        <v>235.48000000000002</v>
      </c>
      <c r="I42" s="2" t="s">
        <v>72</v>
      </c>
      <c r="J42" s="2" t="s">
        <v>73</v>
      </c>
      <c r="K42" s="2" t="s">
        <v>74</v>
      </c>
      <c r="L42" s="2" t="s">
        <v>105</v>
      </c>
      <c r="M42" s="2" t="s">
        <v>110</v>
      </c>
    </row>
    <row r="43" spans="2:13" x14ac:dyDescent="0.2">
      <c r="B43" s="2">
        <v>1039</v>
      </c>
      <c r="C43" s="5" t="s">
        <v>59</v>
      </c>
      <c r="D43" s="2" t="s">
        <v>10</v>
      </c>
      <c r="E43" s="2">
        <v>486</v>
      </c>
      <c r="F43" s="2">
        <v>0</v>
      </c>
      <c r="G43" s="2">
        <v>142</v>
      </c>
      <c r="H43" s="2">
        <f t="shared" si="0"/>
        <v>344</v>
      </c>
      <c r="I43" s="2" t="s">
        <v>75</v>
      </c>
      <c r="J43" s="2" t="s">
        <v>23</v>
      </c>
      <c r="K43" s="2" t="s">
        <v>12</v>
      </c>
      <c r="L43" s="2" t="s">
        <v>106</v>
      </c>
      <c r="M43" s="2" t="s">
        <v>109</v>
      </c>
    </row>
    <row r="44" spans="2:13" x14ac:dyDescent="0.2">
      <c r="B44" s="2">
        <v>1040</v>
      </c>
      <c r="C44" s="5" t="s">
        <v>59</v>
      </c>
      <c r="D44" s="2" t="s">
        <v>10</v>
      </c>
      <c r="E44" s="2">
        <v>486</v>
      </c>
      <c r="F44" s="2">
        <v>0</v>
      </c>
      <c r="G44" s="2">
        <v>0</v>
      </c>
      <c r="H44" s="2">
        <f t="shared" si="0"/>
        <v>486</v>
      </c>
      <c r="I44" s="2" t="s">
        <v>76</v>
      </c>
      <c r="J44" s="2" t="s">
        <v>23</v>
      </c>
      <c r="K44" s="2" t="s">
        <v>12</v>
      </c>
      <c r="L44" s="2" t="s">
        <v>106</v>
      </c>
      <c r="M44" s="2" t="s">
        <v>109</v>
      </c>
    </row>
    <row r="45" spans="2:13" x14ac:dyDescent="0.2">
      <c r="B45" s="2">
        <v>1041</v>
      </c>
      <c r="C45" s="5" t="s">
        <v>112</v>
      </c>
      <c r="D45" s="2" t="s">
        <v>10</v>
      </c>
      <c r="E45" s="2">
        <v>300</v>
      </c>
      <c r="F45" s="2">
        <v>0</v>
      </c>
      <c r="G45" s="2">
        <v>0</v>
      </c>
      <c r="H45" s="2">
        <f t="shared" si="0"/>
        <v>300</v>
      </c>
      <c r="I45" s="2" t="s">
        <v>118</v>
      </c>
      <c r="J45" s="2" t="s">
        <v>23</v>
      </c>
      <c r="K45" s="2" t="s">
        <v>12</v>
      </c>
      <c r="L45" s="2" t="s">
        <v>119</v>
      </c>
      <c r="M45" s="2" t="s">
        <v>109</v>
      </c>
    </row>
    <row r="46" spans="2:13" x14ac:dyDescent="0.2">
      <c r="B46" s="2">
        <v>1042</v>
      </c>
      <c r="C46" s="5" t="s">
        <v>112</v>
      </c>
      <c r="D46" s="2" t="s">
        <v>10</v>
      </c>
      <c r="E46" s="2">
        <v>480</v>
      </c>
      <c r="F46" s="2">
        <v>0</v>
      </c>
      <c r="G46" s="2">
        <v>0</v>
      </c>
      <c r="H46" s="2">
        <v>480</v>
      </c>
      <c r="I46" s="2" t="s">
        <v>120</v>
      </c>
      <c r="J46" s="2" t="s">
        <v>23</v>
      </c>
      <c r="K46" s="2" t="s">
        <v>12</v>
      </c>
      <c r="L46" s="2" t="s">
        <v>119</v>
      </c>
      <c r="M46" s="2" t="s">
        <v>108</v>
      </c>
    </row>
    <row r="47" spans="2:13" x14ac:dyDescent="0.2">
      <c r="B47" s="2">
        <v>1043</v>
      </c>
      <c r="C47" s="5" t="s">
        <v>112</v>
      </c>
      <c r="D47" s="2" t="s">
        <v>10</v>
      </c>
      <c r="E47" s="2">
        <v>480</v>
      </c>
      <c r="F47" s="2">
        <v>0</v>
      </c>
      <c r="G47" s="2">
        <v>0</v>
      </c>
      <c r="H47" s="2">
        <v>480</v>
      </c>
      <c r="I47" s="2" t="s">
        <v>120</v>
      </c>
      <c r="J47" s="2" t="s">
        <v>23</v>
      </c>
      <c r="K47" s="2" t="s">
        <v>12</v>
      </c>
      <c r="L47" s="2" t="s">
        <v>119</v>
      </c>
      <c r="M47" s="2" t="s">
        <v>108</v>
      </c>
    </row>
    <row r="48" spans="2:13" x14ac:dyDescent="0.2">
      <c r="B48" s="2">
        <v>1044</v>
      </c>
      <c r="C48" s="5" t="s">
        <v>115</v>
      </c>
      <c r="D48" s="2" t="s">
        <v>10</v>
      </c>
      <c r="E48" s="2">
        <v>480</v>
      </c>
      <c r="F48" s="2">
        <v>0</v>
      </c>
      <c r="G48" s="2">
        <v>0</v>
      </c>
      <c r="H48" s="2">
        <v>480</v>
      </c>
      <c r="I48" s="2" t="s">
        <v>120</v>
      </c>
      <c r="J48" s="2" t="s">
        <v>23</v>
      </c>
      <c r="K48" s="2" t="s">
        <v>12</v>
      </c>
      <c r="L48" s="2" t="s">
        <v>119</v>
      </c>
      <c r="M48" s="2" t="s">
        <v>108</v>
      </c>
    </row>
    <row r="49" spans="2:13" x14ac:dyDescent="0.2">
      <c r="B49" s="2">
        <v>1045</v>
      </c>
      <c r="C49" s="5" t="s">
        <v>115</v>
      </c>
      <c r="D49" s="2" t="s">
        <v>10</v>
      </c>
      <c r="E49" s="2">
        <v>480</v>
      </c>
      <c r="F49" s="2">
        <v>0</v>
      </c>
      <c r="G49" s="2">
        <v>0</v>
      </c>
      <c r="H49" s="2">
        <v>480</v>
      </c>
      <c r="I49" s="2" t="s">
        <v>120</v>
      </c>
      <c r="J49" s="2" t="s">
        <v>23</v>
      </c>
      <c r="K49" s="2" t="s">
        <v>12</v>
      </c>
      <c r="L49" s="2" t="s">
        <v>119</v>
      </c>
      <c r="M49" s="2" t="s">
        <v>108</v>
      </c>
    </row>
    <row r="50" spans="2:13" x14ac:dyDescent="0.2">
      <c r="B50" s="2">
        <v>1046</v>
      </c>
      <c r="C50" s="5" t="s">
        <v>115</v>
      </c>
      <c r="D50" s="2" t="s">
        <v>10</v>
      </c>
      <c r="E50" s="2">
        <v>300</v>
      </c>
      <c r="F50" s="2">
        <v>0</v>
      </c>
      <c r="G50" s="2">
        <v>0</v>
      </c>
      <c r="H50" s="2">
        <v>300</v>
      </c>
      <c r="I50" s="2" t="s">
        <v>118</v>
      </c>
      <c r="J50" s="2" t="s">
        <v>23</v>
      </c>
      <c r="K50" s="2" t="s">
        <v>12</v>
      </c>
      <c r="L50" s="2" t="s">
        <v>119</v>
      </c>
      <c r="M50" s="2" t="s">
        <v>109</v>
      </c>
    </row>
    <row r="51" spans="2:13" x14ac:dyDescent="0.2">
      <c r="B51" s="2">
        <v>1047</v>
      </c>
      <c r="C51" s="5" t="s">
        <v>113</v>
      </c>
      <c r="D51" s="2" t="s">
        <v>10</v>
      </c>
      <c r="E51" s="2">
        <v>300</v>
      </c>
      <c r="F51" s="2">
        <v>0</v>
      </c>
      <c r="G51" s="2">
        <v>0</v>
      </c>
      <c r="H51" s="2">
        <v>300</v>
      </c>
      <c r="I51" s="2" t="s">
        <v>118</v>
      </c>
      <c r="J51" s="2" t="s">
        <v>23</v>
      </c>
      <c r="K51" s="2" t="s">
        <v>12</v>
      </c>
      <c r="L51" s="2" t="s">
        <v>119</v>
      </c>
      <c r="M51" s="2" t="s">
        <v>109</v>
      </c>
    </row>
    <row r="52" spans="2:13" x14ac:dyDescent="0.2">
      <c r="B52" s="2">
        <v>1048</v>
      </c>
      <c r="C52" s="5" t="s">
        <v>114</v>
      </c>
      <c r="D52" s="2" t="s">
        <v>10</v>
      </c>
      <c r="E52" s="2">
        <v>300</v>
      </c>
      <c r="F52" s="2">
        <v>0</v>
      </c>
      <c r="G52" s="2">
        <v>0</v>
      </c>
      <c r="H52" s="2">
        <v>300</v>
      </c>
      <c r="I52" s="2" t="s">
        <v>118</v>
      </c>
      <c r="J52" s="2" t="s">
        <v>23</v>
      </c>
      <c r="K52" s="2" t="s">
        <v>12</v>
      </c>
      <c r="L52" s="2" t="s">
        <v>119</v>
      </c>
      <c r="M52" s="2" t="s">
        <v>109</v>
      </c>
    </row>
    <row r="53" spans="2:13" x14ac:dyDescent="0.2">
      <c r="B53" s="2">
        <v>1049</v>
      </c>
      <c r="C53" s="5" t="s">
        <v>116</v>
      </c>
      <c r="D53" s="2" t="s">
        <v>10</v>
      </c>
      <c r="E53" s="2">
        <v>300</v>
      </c>
      <c r="F53" s="2">
        <v>0</v>
      </c>
      <c r="G53" s="2">
        <v>0</v>
      </c>
      <c r="H53" s="2">
        <v>300</v>
      </c>
      <c r="I53" s="2" t="s">
        <v>118</v>
      </c>
      <c r="J53" s="2" t="s">
        <v>23</v>
      </c>
      <c r="K53" s="2" t="s">
        <v>12</v>
      </c>
      <c r="L53" s="2" t="s">
        <v>119</v>
      </c>
      <c r="M53" s="2" t="s">
        <v>109</v>
      </c>
    </row>
    <row r="54" spans="2:13" x14ac:dyDescent="0.2">
      <c r="B54" s="2">
        <v>1050</v>
      </c>
      <c r="C54" s="5" t="s">
        <v>116</v>
      </c>
      <c r="D54" s="2" t="s">
        <v>10</v>
      </c>
      <c r="E54" s="2">
        <v>300</v>
      </c>
      <c r="F54" s="2">
        <v>0</v>
      </c>
      <c r="G54" s="2">
        <v>0</v>
      </c>
      <c r="H54" s="2">
        <v>300</v>
      </c>
      <c r="I54" s="2" t="s">
        <v>118</v>
      </c>
      <c r="J54" s="2" t="s">
        <v>23</v>
      </c>
      <c r="K54" s="2" t="s">
        <v>12</v>
      </c>
      <c r="L54" s="2" t="s">
        <v>119</v>
      </c>
      <c r="M54" s="2" t="s">
        <v>109</v>
      </c>
    </row>
    <row r="55" spans="2:13" x14ac:dyDescent="0.2">
      <c r="B55" s="2">
        <v>1051</v>
      </c>
      <c r="C55" s="2" t="s">
        <v>117</v>
      </c>
      <c r="D55" s="2" t="s">
        <v>10</v>
      </c>
      <c r="E55" s="2">
        <v>350</v>
      </c>
      <c r="F55" s="2">
        <v>0</v>
      </c>
      <c r="G55" s="2">
        <v>0</v>
      </c>
      <c r="H55" s="2">
        <v>350</v>
      </c>
      <c r="I55" s="2" t="s">
        <v>121</v>
      </c>
      <c r="J55" s="2" t="s">
        <v>23</v>
      </c>
      <c r="K55" s="2" t="s">
        <v>12</v>
      </c>
      <c r="L55" s="2" t="s">
        <v>119</v>
      </c>
      <c r="M55" s="2" t="s">
        <v>111</v>
      </c>
    </row>
    <row r="56" spans="2:13" x14ac:dyDescent="0.2">
      <c r="B56" s="2">
        <v>1052</v>
      </c>
      <c r="C56" s="2" t="s">
        <v>117</v>
      </c>
      <c r="D56" s="2" t="s">
        <v>10</v>
      </c>
      <c r="E56" s="2">
        <v>350</v>
      </c>
      <c r="F56" s="2">
        <v>0</v>
      </c>
      <c r="G56" s="2">
        <v>0</v>
      </c>
      <c r="H56" s="2">
        <v>350</v>
      </c>
      <c r="I56" s="2" t="s">
        <v>121</v>
      </c>
      <c r="J56" s="2" t="s">
        <v>23</v>
      </c>
      <c r="K56" s="2" t="s">
        <v>12</v>
      </c>
      <c r="L56" s="2" t="s">
        <v>119</v>
      </c>
      <c r="M56" s="2" t="s">
        <v>111</v>
      </c>
    </row>
    <row r="57" spans="2:13" x14ac:dyDescent="0.2">
      <c r="B57" s="2">
        <v>1053</v>
      </c>
      <c r="C57" s="2" t="s">
        <v>117</v>
      </c>
      <c r="D57" s="2" t="s">
        <v>10</v>
      </c>
      <c r="E57" s="2">
        <v>350</v>
      </c>
      <c r="F57" s="2">
        <v>0</v>
      </c>
      <c r="G57" s="2">
        <v>0</v>
      </c>
      <c r="H57" s="2">
        <v>350</v>
      </c>
      <c r="I57" s="2" t="s">
        <v>121</v>
      </c>
      <c r="J57" s="2" t="s">
        <v>23</v>
      </c>
      <c r="K57" s="2" t="s">
        <v>12</v>
      </c>
      <c r="L57" s="2" t="s">
        <v>119</v>
      </c>
      <c r="M57" s="2" t="s">
        <v>111</v>
      </c>
    </row>
    <row r="58" spans="2:13" x14ac:dyDescent="0.2">
      <c r="B58" s="2">
        <v>1054</v>
      </c>
      <c r="C58" s="2" t="s">
        <v>117</v>
      </c>
      <c r="D58" s="2" t="s">
        <v>10</v>
      </c>
      <c r="E58" s="2">
        <v>350</v>
      </c>
      <c r="F58" s="2">
        <v>0</v>
      </c>
      <c r="G58" s="2">
        <v>0</v>
      </c>
      <c r="H58" s="2">
        <v>350</v>
      </c>
      <c r="I58" s="2" t="s">
        <v>121</v>
      </c>
      <c r="J58" s="2" t="s">
        <v>23</v>
      </c>
      <c r="K58" s="2" t="s">
        <v>12</v>
      </c>
      <c r="L58" s="2" t="s">
        <v>119</v>
      </c>
      <c r="M58" s="2" t="s">
        <v>111</v>
      </c>
    </row>
    <row r="59" spans="2:13" x14ac:dyDescent="0.2">
      <c r="B59" s="7"/>
      <c r="C59" s="7"/>
    </row>
    <row r="60" spans="2:13" x14ac:dyDescent="0.2">
      <c r="B60" s="7"/>
      <c r="C60" s="7"/>
    </row>
    <row r="61" spans="2:13" x14ac:dyDescent="0.2">
      <c r="B61" s="7"/>
      <c r="C61" s="7"/>
    </row>
    <row r="62" spans="2:13" x14ac:dyDescent="0.2">
      <c r="B62" s="7"/>
      <c r="C62" s="7"/>
    </row>
    <row r="63" spans="2:13" x14ac:dyDescent="0.2">
      <c r="B63" s="7"/>
      <c r="C63" s="7"/>
    </row>
    <row r="64" spans="2:13" x14ac:dyDescent="0.2">
      <c r="B64" s="7"/>
      <c r="C64" s="7"/>
    </row>
  </sheetData>
  <phoneticPr fontId="6" type="noConversion"/>
  <pageMargins left="0.7" right="0.7" top="0.75" bottom="0.75" header="0.3" footer="0.3"/>
  <pageSetup orientation="portrait" horizontalDpi="0" verticalDpi="0"/>
  <ignoredErrors>
    <ignoredError sqref="H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TAPIA REDUCINDO</dc:creator>
  <cp:lastModifiedBy>SANTIAGO TAPIA REDUCINDO</cp:lastModifiedBy>
  <dcterms:created xsi:type="dcterms:W3CDTF">2026-03-04T17:40:25Z</dcterms:created>
  <dcterms:modified xsi:type="dcterms:W3CDTF">2026-03-18T01:06:43Z</dcterms:modified>
</cp:coreProperties>
</file>